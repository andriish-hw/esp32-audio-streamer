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bt internet radio receiver\bt internet radio receiver mainboard\bt internet radio receiver audio switch\"/>
    </mc:Choice>
  </mc:AlternateContent>
  <xr:revisionPtr revIDLastSave="0" documentId="13_ncr:1_{0CDF46E2-2F9D-4606-B43C-AB7CADD69243}" xr6:coauthVersionLast="47" xr6:coauthVersionMax="47" xr10:uidLastSave="{00000000-0000-0000-0000-000000000000}"/>
  <bookViews>
    <workbookView xWindow="-108" yWindow="-108" windowWidth="23256" windowHeight="12456" xr2:uid="{0E4A5AD0-270F-4257-B13C-8D7A88A4C443}"/>
  </bookViews>
  <sheets>
    <sheet name="bt internet radio receiver audi" sheetId="2" r:id="rId1"/>
  </sheets>
  <definedNames>
    <definedName name="ExternalData_1" localSheetId="0" hidden="1">'bt internet radio receiver audi'!$A$1:$H$33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2" l="1" a="1"/>
  <c r="B35" i="2" s="1"/>
  <c r="C35" i="2" s="1"/>
  <c r="B3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CDB1A2-5070-4F17-B05A-A7B107D68251}" keepAlive="1" name="Запит – bt internet radio receiver audio switch" description="Підключення до запита &quot;bt internet radio receiver audio switch&quot; у книзі." type="5" refreshedVersion="8" background="1" saveData="1">
    <dbPr connection="Provider=Microsoft.Mashup.OleDb.1;Data Source=$Workbook$;Location=&quot;bt internet radio receiver audio switch&quot;;Extended Properties=&quot;&quot;" command="SELECT * FROM [bt internet radio receiver audio switch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<sst xmlns="http://schemas.openxmlformats.org/spreadsheetml/2006/main" count="200" uniqueCount="96">
  <si>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</si>
  <si>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</si>
  <si>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</si>
  <si>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</si>
  <si>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</si>
  <si>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</si>
  <si>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</si>
  <si>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</si>
  <si>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*R45,*R46</t>
  </si>
  <si>
    <t>NC</t>
  </si>
  <si>
    <t/>
  </si>
  <si>
    <t>Resistor_SMD:R_0805_2012Metric_Pad1.20x1.40mm_HandSolder</t>
  </si>
  <si>
    <t>~</t>
  </si>
  <si>
    <t>C1,C2,C3,C4,C5,C6,C7,C8</t>
  </si>
  <si>
    <t>220p</t>
  </si>
  <si>
    <t>Capacitor_SMD:C_0805_2012Metric_Pad1.18x1.45mm_HandSolder</t>
  </si>
  <si>
    <t>C9,C10,C20,C21,C22,C23,C25,C26,C33,C42,C43</t>
  </si>
  <si>
    <t>100n</t>
  </si>
  <si>
    <t>C11,C12,C18,C19</t>
  </si>
  <si>
    <t>100u</t>
  </si>
  <si>
    <t>Capacitor_THT:CP_Radial_D6.3mm_P2.50mm</t>
  </si>
  <si>
    <t>C15,C16</t>
  </si>
  <si>
    <t>150p</t>
  </si>
  <si>
    <t>C17,C24</t>
  </si>
  <si>
    <t>10u</t>
  </si>
  <si>
    <t>Capacitor_SMD:C_1206_3216Metric_Pad1.33x1.80mm_HandSolder</t>
  </si>
  <si>
    <t>C27,C28,C29,C30,C31,C32,C34,C35,C36,C37,C38,C39,C40,C41</t>
  </si>
  <si>
    <t>Capacitor_THT:CP_Radial_D5.0mm_P2.00mm</t>
  </si>
  <si>
    <t>D1,D2</t>
  </si>
  <si>
    <t>1N4148</t>
  </si>
  <si>
    <t>Diode_SMD:D_SOD-323_HandSoldering</t>
  </si>
  <si>
    <t>https://assets.nexperia.com/documents/data-sheet/1N4148_1N4448.pdf</t>
  </si>
  <si>
    <t>D3</t>
  </si>
  <si>
    <t>BZV55C4V3</t>
  </si>
  <si>
    <t>Diode_SMD:D_MiniMELF</t>
  </si>
  <si>
    <t>https://assets.nexperia.com/documents/data-sheet/BZV55_SER.pdf</t>
  </si>
  <si>
    <t>J1,J4,J7,J9</t>
  </si>
  <si>
    <t>Conn_01x03_Pin</t>
  </si>
  <si>
    <t>Connector_PinHeader_2.54mm:PinHeader_1x03_P2.54mm_Vertical</t>
  </si>
  <si>
    <t>J2,J3</t>
  </si>
  <si>
    <t>Conn_Coaxial_x4_Isolated_by_pairs</t>
  </si>
  <si>
    <t>Connector:KLS1-RCA-410</t>
  </si>
  <si>
    <t>J5</t>
  </si>
  <si>
    <t>Conn_01x04_Pin</t>
  </si>
  <si>
    <t>Connector_PinHeader_2.54mm:PinHeader_1x04_P2.54mm_Vertical</t>
  </si>
  <si>
    <t>J6</t>
  </si>
  <si>
    <t>Conn_01x06_Pin</t>
  </si>
  <si>
    <t>Connector_PinHeader_2.54mm:PinHeader_1x06_P2.54mm_Vertical</t>
  </si>
  <si>
    <t>J8,J10</t>
  </si>
  <si>
    <t>Conn_01x05_Pin</t>
  </si>
  <si>
    <t>Connector_PinHeader_2.54mm:PinHeader_1x05_P2.54mm_Vertical</t>
  </si>
  <si>
    <t>R1,R19,R20,R44,R45,R47</t>
  </si>
  <si>
    <t>0</t>
  </si>
  <si>
    <t>R2,R46</t>
  </si>
  <si>
    <t>Resistor_SMD:R_1206_3216Metric_Pad1.30x1.75mm_HandSolder</t>
  </si>
  <si>
    <t>R3,R4,R7,R8,R11,R12,R15,R16</t>
  </si>
  <si>
    <t>470</t>
  </si>
  <si>
    <t>R5,R6,R9,R10,R13,R14</t>
  </si>
  <si>
    <t>47k</t>
  </si>
  <si>
    <t>R17,R18</t>
  </si>
  <si>
    <t>2.2k</t>
  </si>
  <si>
    <t>R21,R22,R23,R24,R25,R26,R30,R31,R34,R35,R36,R37,R38,R39</t>
  </si>
  <si>
    <t>100k</t>
  </si>
  <si>
    <t>R27,R28</t>
  </si>
  <si>
    <t>1k</t>
  </si>
  <si>
    <t>R29</t>
  </si>
  <si>
    <t>R32,R33</t>
  </si>
  <si>
    <t>51k</t>
  </si>
  <si>
    <t>R40,R41</t>
  </si>
  <si>
    <t>100</t>
  </si>
  <si>
    <t>R42,R43</t>
  </si>
  <si>
    <t>10k</t>
  </si>
  <si>
    <t>RV1,RV2</t>
  </si>
  <si>
    <t>Potentiometer_THT:Potentiometer_Runtron_RM-065_Vertical</t>
  </si>
  <si>
    <t>RV3,RV4</t>
  </si>
  <si>
    <t>200k</t>
  </si>
  <si>
    <t>U1</t>
  </si>
  <si>
    <t>CD4052B</t>
  </si>
  <si>
    <t>Package_SO:SOIC-16_3.9x9.9mm_P1.27mm</t>
  </si>
  <si>
    <t>http://www.ti.com/lit/ds/symlink/cd4052b.pdf</t>
  </si>
  <si>
    <t>U2,U5,U6</t>
  </si>
  <si>
    <t>NE5532</t>
  </si>
  <si>
    <t>Package_DIP:DIP-8_W7.62mm_Socket_LongPads</t>
  </si>
  <si>
    <t>http://www.ti.com/lit/ds/symlink/ne5532.pdf</t>
  </si>
  <si>
    <t>U3</t>
  </si>
  <si>
    <t>ISO1540</t>
  </si>
  <si>
    <t>Package_SO:SOIC-8_3.9x4.9mm_P1.27mm</t>
  </si>
  <si>
    <t>http://www.ti.com/lit/ds/symlink/iso1541.pdf</t>
  </si>
  <si>
    <t>U4</t>
  </si>
  <si>
    <t>PT2258-S</t>
  </si>
  <si>
    <t>Package_SO:SO-20_12.8x7.5mm_P1.27mm</t>
  </si>
  <si>
    <t>http://www.princeton.com.tw/Portals/0/Product/PT2258-s.pdf</t>
  </si>
  <si>
    <t>U7</t>
  </si>
  <si>
    <t>L78L09_TO92</t>
  </si>
  <si>
    <t>Package_TO_SOT_THT:TO-92_Inline_Wide</t>
  </si>
  <si>
    <t>http://www.st.com/content/ccc/resource/technical/document/datasheet/15/55/e5/aa/23/5b/43/fd/CD00000446.pdf/files/CD00000446.pdf/jcr:content/translations/en.CD00000446.pdf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</si>
</sst>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NumberFormat="1"/>
    <xf numFmtId="10" fontId="0" fillId="0" borderId="0" xfId="0" applyNumberFormat="1"/>
  </cellXfs>
  <cellStyles count="1">
    <cellStyle name="Звичайний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microsoft.com/office/2022/11/relationships/FeaturePropertyBag" Target="featurePropertyBag/featurePropertyBag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C1A3C5-8AED-4F70-8F90-7EB975C1B4A2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B04C21-9063-4768-BFC4-AFFE1A754564}" name="bt_internet_radio_receiver_audio_switch" displayName="bt_internet_radio_receiver_audio_switch" ref="A1:H34" tableType="queryTable" totalsRowCount="1">
  <autoFilter ref="A1:H33" xr:uid="{18B04C21-9063-4768-BFC4-AFFE1A754564}"/>
  <tableColumns count="8">
    <tableColumn id="1" xr3:uid="{26434819-A88C-4813-AD8B-1A9873149338}" uniqueName="1" name="Reference" queryTableFieldId="1" dataDxfId="13" totalsRowDxfId="6"/>
    <tableColumn id="2" xr3:uid="{69850851-AF2E-40AA-9ED3-8D700F8A6A61}" uniqueName="2" name="Qty" totalsRowFunction="custom" queryTableFieldId="2">
      <totalsRowFormula>SUM(bt_internet_radio_receiver_audio_switch[Qty])</totalsRowFormula>
    </tableColumn>
    <tableColumn id="3" xr3:uid="{D64BC93A-C4BB-4AAB-9ACB-C43EB04C8551}" uniqueName="3" name="Value" queryTableFieldId="3" dataDxfId="12" totalsRowDxfId="5"/>
    <tableColumn id="4" xr3:uid="{F532A1CD-BD02-49B2-AA24-09F453197D0E}" uniqueName="4" name="DNP" queryTableFieldId="4" dataDxfId="11" totalsRowDxfId="4"/>
    <tableColumn id="5" xr3:uid="{1237D757-DF34-4B62-8BC7-07748F018F70}" uniqueName="5" name="Exclude from BOM" queryTableFieldId="5" dataDxfId="10" totalsRowDxfId="3"/>
    <tableColumn id="6" xr3:uid="{A07778C0-FC58-43D8-A2A7-55FDD5344C99}" uniqueName="6" name="Exclude from Board" queryTableFieldId="6" dataDxfId="9" totalsRowDxfId="2"/>
    <tableColumn id="7" xr3:uid="{76B32699-892A-4A84-96C0-E806CC023C63}" uniqueName="7" name="Footprint" queryTableFieldId="7" dataDxfId="8" totalsRowDxfId="1"/>
    <tableColumn id="8" xr3:uid="{33D94D90-6AAB-4C0A-A51A-546D13143536}" uniqueName="8" name="Datasheet" queryTableFieldId="8" dataDxfId="7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88D5-8AC3-4D3F-A028-89BA1DBB2D28}">
  <dimension ref="A1:H35"/>
  <sheetViews>
    <sheetView tabSelected="1" topLeftCell="A18" workbookViewId="0">
      <selection activeCell="E40" sqref="E40"/>
    </sheetView>
  </sheetViews>
  <sheetFormatPr defaultRowHeight="14.4" x14ac:dyDescent="0.3"/>
  <cols>
    <col min="1" max="1" width="53.88671875" bestFit="1" customWidth="1"/>
    <col min="2" max="2" width="6.44140625" bestFit="1" customWidth="1"/>
    <col min="3" max="3" width="32.6640625" bestFit="1" customWidth="1"/>
    <col min="4" max="4" width="7.33203125" bestFit="1" customWidth="1"/>
    <col min="5" max="5" width="20" bestFit="1" customWidth="1"/>
    <col min="6" max="6" width="21" bestFit="1" customWidth="1"/>
    <col min="7" max="7" width="60.5546875" bestFit="1" customWidth="1"/>
    <col min="8" max="8" width="81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</v>
      </c>
      <c r="C2" t="s">
        <v>9</v>
      </c>
      <c r="D2" s="1" t="b">
        <v>1</v>
      </c>
      <c r="E2" t="s">
        <v>10</v>
      </c>
      <c r="F2" t="s">
        <v>10</v>
      </c>
      <c r="G2" t="s">
        <v>11</v>
      </c>
      <c r="H2" t="s">
        <v>12</v>
      </c>
    </row>
    <row r="3" spans="1:8" x14ac:dyDescent="0.3">
      <c r="A3" t="s">
        <v>13</v>
      </c>
      <c r="B3">
        <v>8</v>
      </c>
      <c r="C3" t="s">
        <v>14</v>
      </c>
      <c r="D3" s="1" t="b">
        <v>1</v>
      </c>
      <c r="E3" t="s">
        <v>10</v>
      </c>
      <c r="F3" t="s">
        <v>10</v>
      </c>
      <c r="G3" t="s">
        <v>15</v>
      </c>
      <c r="H3" t="s">
        <v>12</v>
      </c>
    </row>
    <row r="4" spans="1:8" x14ac:dyDescent="0.3">
      <c r="A4" t="s">
        <v>16</v>
      </c>
      <c r="B4">
        <v>11</v>
      </c>
      <c r="C4" t="s">
        <v>17</v>
      </c>
      <c r="D4" s="1" t="b">
        <v>0</v>
      </c>
      <c r="E4" t="s">
        <v>10</v>
      </c>
      <c r="F4" t="s">
        <v>10</v>
      </c>
      <c r="G4" t="s">
        <v>15</v>
      </c>
      <c r="H4" t="s">
        <v>12</v>
      </c>
    </row>
    <row r="5" spans="1:8" x14ac:dyDescent="0.3">
      <c r="A5" t="s">
        <v>18</v>
      </c>
      <c r="B5">
        <v>4</v>
      </c>
      <c r="C5" t="s">
        <v>19</v>
      </c>
      <c r="D5" s="1" t="b">
        <v>0</v>
      </c>
      <c r="E5" t="s">
        <v>10</v>
      </c>
      <c r="F5" t="s">
        <v>10</v>
      </c>
      <c r="G5" t="s">
        <v>20</v>
      </c>
      <c r="H5" t="s">
        <v>12</v>
      </c>
    </row>
    <row r="6" spans="1:8" x14ac:dyDescent="0.3">
      <c r="A6" t="s">
        <v>21</v>
      </c>
      <c r="B6">
        <v>2</v>
      </c>
      <c r="C6" t="s">
        <v>22</v>
      </c>
      <c r="D6" s="1" t="b">
        <v>1</v>
      </c>
      <c r="E6" t="s">
        <v>10</v>
      </c>
      <c r="F6" t="s">
        <v>10</v>
      </c>
      <c r="G6" t="s">
        <v>15</v>
      </c>
      <c r="H6" t="s">
        <v>12</v>
      </c>
    </row>
    <row r="7" spans="1:8" x14ac:dyDescent="0.3">
      <c r="A7" t="s">
        <v>23</v>
      </c>
      <c r="B7">
        <v>2</v>
      </c>
      <c r="C7" t="s">
        <v>24</v>
      </c>
      <c r="D7" s="1" t="b">
        <v>0</v>
      </c>
      <c r="E7" t="s">
        <v>10</v>
      </c>
      <c r="F7" t="s">
        <v>10</v>
      </c>
      <c r="G7" t="s">
        <v>25</v>
      </c>
      <c r="H7" t="s">
        <v>12</v>
      </c>
    </row>
    <row r="8" spans="1:8" x14ac:dyDescent="0.3">
      <c r="A8" t="s">
        <v>26</v>
      </c>
      <c r="B8">
        <v>14</v>
      </c>
      <c r="C8" t="s">
        <v>24</v>
      </c>
      <c r="D8" s="1" t="b">
        <v>0</v>
      </c>
      <c r="E8" t="s">
        <v>10</v>
      </c>
      <c r="F8" t="s">
        <v>10</v>
      </c>
      <c r="G8" t="s">
        <v>27</v>
      </c>
      <c r="H8" t="s">
        <v>12</v>
      </c>
    </row>
    <row r="9" spans="1:8" x14ac:dyDescent="0.3">
      <c r="A9" t="s">
        <v>28</v>
      </c>
      <c r="B9">
        <v>2</v>
      </c>
      <c r="C9" t="s">
        <v>29</v>
      </c>
      <c r="D9" s="1" t="b">
        <v>0</v>
      </c>
      <c r="E9" t="s">
        <v>10</v>
      </c>
      <c r="F9" t="s">
        <v>10</v>
      </c>
      <c r="G9" t="s">
        <v>30</v>
      </c>
      <c r="H9" t="s">
        <v>31</v>
      </c>
    </row>
    <row r="10" spans="1:8" x14ac:dyDescent="0.3">
      <c r="A10" t="s">
        <v>32</v>
      </c>
      <c r="B10">
        <v>1</v>
      </c>
      <c r="C10" t="s">
        <v>33</v>
      </c>
      <c r="D10" s="1" t="b">
        <v>1</v>
      </c>
      <c r="E10" t="s">
        <v>10</v>
      </c>
      <c r="F10" t="s">
        <v>10</v>
      </c>
      <c r="G10" t="s">
        <v>34</v>
      </c>
      <c r="H10" t="s">
        <v>35</v>
      </c>
    </row>
    <row r="11" spans="1:8" x14ac:dyDescent="0.3">
      <c r="A11" t="s">
        <v>36</v>
      </c>
      <c r="B11">
        <v>4</v>
      </c>
      <c r="C11" t="s">
        <v>37</v>
      </c>
      <c r="D11" s="1" t="b">
        <v>0</v>
      </c>
      <c r="E11" t="s">
        <v>10</v>
      </c>
      <c r="F11" t="s">
        <v>10</v>
      </c>
      <c r="G11" t="s">
        <v>38</v>
      </c>
      <c r="H11" t="s">
        <v>12</v>
      </c>
    </row>
    <row r="12" spans="1:8" x14ac:dyDescent="0.3">
      <c r="A12" t="s">
        <v>39</v>
      </c>
      <c r="B12">
        <v>2</v>
      </c>
      <c r="C12" t="s">
        <v>40</v>
      </c>
      <c r="D12" s="1" t="b">
        <v>0</v>
      </c>
      <c r="E12" t="s">
        <v>10</v>
      </c>
      <c r="F12" t="s">
        <v>10</v>
      </c>
      <c r="G12" t="s">
        <v>41</v>
      </c>
      <c r="H12" t="s">
        <v>10</v>
      </c>
    </row>
    <row r="13" spans="1:8" x14ac:dyDescent="0.3">
      <c r="A13" t="s">
        <v>42</v>
      </c>
      <c r="B13">
        <v>1</v>
      </c>
      <c r="C13" t="s">
        <v>43</v>
      </c>
      <c r="D13" s="1" t="b">
        <v>0</v>
      </c>
      <c r="E13" t="s">
        <v>10</v>
      </c>
      <c r="F13" t="s">
        <v>10</v>
      </c>
      <c r="G13" t="s">
        <v>44</v>
      </c>
      <c r="H13" t="s">
        <v>12</v>
      </c>
    </row>
    <row r="14" spans="1:8" x14ac:dyDescent="0.3">
      <c r="A14" t="s">
        <v>45</v>
      </c>
      <c r="B14">
        <v>1</v>
      </c>
      <c r="C14" t="s">
        <v>46</v>
      </c>
      <c r="D14" s="1" t="b">
        <v>0</v>
      </c>
      <c r="E14" t="s">
        <v>10</v>
      </c>
      <c r="F14" t="s">
        <v>10</v>
      </c>
      <c r="G14" t="s">
        <v>47</v>
      </c>
      <c r="H14" t="s">
        <v>12</v>
      </c>
    </row>
    <row r="15" spans="1:8" x14ac:dyDescent="0.3">
      <c r="A15" t="s">
        <v>48</v>
      </c>
      <c r="B15">
        <v>2</v>
      </c>
      <c r="C15" t="s">
        <v>49</v>
      </c>
      <c r="D15" s="1" t="b">
        <v>0</v>
      </c>
      <c r="E15" t="s">
        <v>10</v>
      </c>
      <c r="F15" t="s">
        <v>10</v>
      </c>
      <c r="G15" t="s">
        <v>50</v>
      </c>
      <c r="H15" t="s">
        <v>12</v>
      </c>
    </row>
    <row r="16" spans="1:8" x14ac:dyDescent="0.3">
      <c r="A16" t="s">
        <v>51</v>
      </c>
      <c r="B16">
        <v>6</v>
      </c>
      <c r="C16" t="s">
        <v>52</v>
      </c>
      <c r="D16" s="1" t="b">
        <v>1</v>
      </c>
      <c r="E16" t="s">
        <v>10</v>
      </c>
      <c r="F16" t="s">
        <v>10</v>
      </c>
      <c r="G16" t="s">
        <v>11</v>
      </c>
      <c r="H16" t="s">
        <v>12</v>
      </c>
    </row>
    <row r="17" spans="1:8" x14ac:dyDescent="0.3">
      <c r="A17" t="s">
        <v>53</v>
      </c>
      <c r="B17">
        <v>2</v>
      </c>
      <c r="C17" t="s">
        <v>52</v>
      </c>
      <c r="D17" s="1" t="b">
        <v>1</v>
      </c>
      <c r="E17" t="s">
        <v>10</v>
      </c>
      <c r="F17" t="s">
        <v>10</v>
      </c>
      <c r="G17" t="s">
        <v>54</v>
      </c>
      <c r="H17" t="s">
        <v>12</v>
      </c>
    </row>
    <row r="18" spans="1:8" x14ac:dyDescent="0.3">
      <c r="A18" t="s">
        <v>55</v>
      </c>
      <c r="B18">
        <v>8</v>
      </c>
      <c r="C18" t="s">
        <v>56</v>
      </c>
      <c r="D18" s="1" t="b">
        <v>1</v>
      </c>
      <c r="E18" t="s">
        <v>10</v>
      </c>
      <c r="F18" t="s">
        <v>10</v>
      </c>
      <c r="G18" t="s">
        <v>11</v>
      </c>
      <c r="H18" t="s">
        <v>12</v>
      </c>
    </row>
    <row r="19" spans="1:8" x14ac:dyDescent="0.3">
      <c r="A19" t="s">
        <v>57</v>
      </c>
      <c r="B19">
        <v>6</v>
      </c>
      <c r="C19" t="s">
        <v>58</v>
      </c>
      <c r="D19" s="1" t="b">
        <v>1</v>
      </c>
      <c r="E19" t="s">
        <v>10</v>
      </c>
      <c r="F19" t="s">
        <v>10</v>
      </c>
      <c r="G19" t="s">
        <v>11</v>
      </c>
      <c r="H19" t="s">
        <v>12</v>
      </c>
    </row>
    <row r="20" spans="1:8" x14ac:dyDescent="0.3">
      <c r="A20" t="s">
        <v>59</v>
      </c>
      <c r="B20">
        <v>2</v>
      </c>
      <c r="C20" t="s">
        <v>60</v>
      </c>
      <c r="D20" s="1" t="b">
        <v>0</v>
      </c>
      <c r="E20" t="s">
        <v>10</v>
      </c>
      <c r="F20" t="s">
        <v>10</v>
      </c>
      <c r="G20" t="s">
        <v>11</v>
      </c>
      <c r="H20" t="s">
        <v>12</v>
      </c>
    </row>
    <row r="21" spans="1:8" x14ac:dyDescent="0.3">
      <c r="A21" t="s">
        <v>61</v>
      </c>
      <c r="B21">
        <v>14</v>
      </c>
      <c r="C21" t="s">
        <v>62</v>
      </c>
      <c r="D21" s="1" t="b">
        <v>0</v>
      </c>
      <c r="E21" t="s">
        <v>10</v>
      </c>
      <c r="F21" t="s">
        <v>10</v>
      </c>
      <c r="G21" t="s">
        <v>11</v>
      </c>
      <c r="H21" t="s">
        <v>12</v>
      </c>
    </row>
    <row r="22" spans="1:8" x14ac:dyDescent="0.3">
      <c r="A22" t="s">
        <v>63</v>
      </c>
      <c r="B22">
        <v>2</v>
      </c>
      <c r="C22" t="s">
        <v>64</v>
      </c>
      <c r="D22" s="1" t="b">
        <v>0</v>
      </c>
      <c r="E22" t="s">
        <v>10</v>
      </c>
      <c r="F22" t="s">
        <v>10</v>
      </c>
      <c r="G22" t="s">
        <v>11</v>
      </c>
      <c r="H22" t="s">
        <v>12</v>
      </c>
    </row>
    <row r="23" spans="1:8" x14ac:dyDescent="0.3">
      <c r="A23" t="s">
        <v>65</v>
      </c>
      <c r="B23">
        <v>1</v>
      </c>
      <c r="C23" t="s">
        <v>56</v>
      </c>
      <c r="D23" s="1" t="b">
        <v>1</v>
      </c>
      <c r="E23" t="s">
        <v>10</v>
      </c>
      <c r="F23" t="s">
        <v>10</v>
      </c>
      <c r="G23" t="s">
        <v>54</v>
      </c>
      <c r="H23" t="s">
        <v>12</v>
      </c>
    </row>
    <row r="24" spans="1:8" x14ac:dyDescent="0.3">
      <c r="A24" t="s">
        <v>66</v>
      </c>
      <c r="B24">
        <v>2</v>
      </c>
      <c r="C24" t="s">
        <v>67</v>
      </c>
      <c r="D24" s="1" t="b">
        <v>0</v>
      </c>
      <c r="E24" t="s">
        <v>10</v>
      </c>
      <c r="F24" t="s">
        <v>10</v>
      </c>
      <c r="G24" t="s">
        <v>11</v>
      </c>
      <c r="H24" t="s">
        <v>12</v>
      </c>
    </row>
    <row r="25" spans="1:8" x14ac:dyDescent="0.3">
      <c r="A25" t="s">
        <v>68</v>
      </c>
      <c r="B25">
        <v>2</v>
      </c>
      <c r="C25" t="s">
        <v>69</v>
      </c>
      <c r="D25" s="1" t="b">
        <v>1</v>
      </c>
      <c r="E25" t="s">
        <v>10</v>
      </c>
      <c r="F25" t="s">
        <v>10</v>
      </c>
      <c r="G25" t="s">
        <v>11</v>
      </c>
      <c r="H25" t="s">
        <v>12</v>
      </c>
    </row>
    <row r="26" spans="1:8" x14ac:dyDescent="0.3">
      <c r="A26" t="s">
        <v>70</v>
      </c>
      <c r="B26">
        <v>2</v>
      </c>
      <c r="C26" t="s">
        <v>71</v>
      </c>
      <c r="D26" s="1" t="b">
        <v>1</v>
      </c>
      <c r="E26" t="s">
        <v>10</v>
      </c>
      <c r="F26" t="s">
        <v>10</v>
      </c>
      <c r="G26" t="s">
        <v>11</v>
      </c>
      <c r="H26" t="s">
        <v>12</v>
      </c>
    </row>
    <row r="27" spans="1:8" x14ac:dyDescent="0.3">
      <c r="A27" t="s">
        <v>72</v>
      </c>
      <c r="B27">
        <v>2</v>
      </c>
      <c r="C27" t="s">
        <v>58</v>
      </c>
      <c r="D27" s="1" t="b">
        <v>0</v>
      </c>
      <c r="E27" t="s">
        <v>10</v>
      </c>
      <c r="F27" t="s">
        <v>10</v>
      </c>
      <c r="G27" t="s">
        <v>73</v>
      </c>
      <c r="H27" t="s">
        <v>12</v>
      </c>
    </row>
    <row r="28" spans="1:8" x14ac:dyDescent="0.3">
      <c r="A28" t="s">
        <v>74</v>
      </c>
      <c r="B28">
        <v>2</v>
      </c>
      <c r="C28" t="s">
        <v>75</v>
      </c>
      <c r="D28" s="1" t="b">
        <v>0</v>
      </c>
      <c r="E28" t="s">
        <v>10</v>
      </c>
      <c r="F28" t="s">
        <v>10</v>
      </c>
      <c r="G28" t="s">
        <v>73</v>
      </c>
      <c r="H28" t="s">
        <v>12</v>
      </c>
    </row>
    <row r="29" spans="1:8" x14ac:dyDescent="0.3">
      <c r="A29" t="s">
        <v>76</v>
      </c>
      <c r="B29">
        <v>1</v>
      </c>
      <c r="C29" t="s">
        <v>77</v>
      </c>
      <c r="D29" s="1" t="b">
        <v>1</v>
      </c>
      <c r="E29" t="s">
        <v>10</v>
      </c>
      <c r="F29" t="s">
        <v>10</v>
      </c>
      <c r="G29" t="s">
        <v>78</v>
      </c>
      <c r="H29" t="s">
        <v>79</v>
      </c>
    </row>
    <row r="30" spans="1:8" x14ac:dyDescent="0.3">
      <c r="A30" t="s">
        <v>80</v>
      </c>
      <c r="B30">
        <v>3</v>
      </c>
      <c r="C30" t="s">
        <v>81</v>
      </c>
      <c r="D30" s="1" t="b">
        <v>0</v>
      </c>
      <c r="E30" t="s">
        <v>10</v>
      </c>
      <c r="F30" t="s">
        <v>10</v>
      </c>
      <c r="G30" t="s">
        <v>82</v>
      </c>
      <c r="H30" t="s">
        <v>83</v>
      </c>
    </row>
    <row r="31" spans="1:8" x14ac:dyDescent="0.3">
      <c r="A31" t="s">
        <v>84</v>
      </c>
      <c r="B31">
        <v>1</v>
      </c>
      <c r="C31" t="s">
        <v>85</v>
      </c>
      <c r="D31" s="1" t="b">
        <v>0</v>
      </c>
      <c r="E31" t="s">
        <v>10</v>
      </c>
      <c r="F31" t="s">
        <v>10</v>
      </c>
      <c r="G31" t="s">
        <v>86</v>
      </c>
      <c r="H31" t="s">
        <v>87</v>
      </c>
    </row>
    <row r="32" spans="1:8" x14ac:dyDescent="0.3">
      <c r="A32" t="s">
        <v>88</v>
      </c>
      <c r="B32">
        <v>1</v>
      </c>
      <c r="C32" t="s">
        <v>89</v>
      </c>
      <c r="D32" s="1" t="b">
        <v>0</v>
      </c>
      <c r="E32" t="s">
        <v>10</v>
      </c>
      <c r="F32" t="s">
        <v>10</v>
      </c>
      <c r="G32" t="s">
        <v>90</v>
      </c>
      <c r="H32" t="s">
        <v>91</v>
      </c>
    </row>
    <row r="33" spans="1:8" x14ac:dyDescent="0.3">
      <c r="A33" t="s">
        <v>92</v>
      </c>
      <c r="B33">
        <v>1</v>
      </c>
      <c r="C33" t="s">
        <v>93</v>
      </c>
      <c r="D33" s="1" t="b">
        <v>0</v>
      </c>
      <c r="E33" t="s">
        <v>10</v>
      </c>
      <c r="F33" t="s">
        <v>10</v>
      </c>
      <c r="G33" t="s">
        <v>94</v>
      </c>
      <c r="H33" t="s">
        <v>95</v>
      </c>
    </row>
    <row r="34" spans="1:8" x14ac:dyDescent="0.3">
      <c r="A34" s="2"/>
      <c r="B34">
        <f>SUM(bt_internet_radio_receiver_audio_switch[Qty])</f>
        <v>114</v>
      </c>
      <c r="C34" s="2"/>
      <c r="D34" s="2"/>
      <c r="E34" s="2"/>
      <c r="F34" s="2"/>
      <c r="G34" s="2"/>
      <c r="H34" s="2"/>
    </row>
    <row r="35" spans="1:8" x14ac:dyDescent="0.3">
      <c r="B35" cm="1">
        <f t="array" ref="B35">SUMPRODUCT((D2:D33=TRUE)*(B2:B33))</f>
        <v>41</v>
      </c>
      <c r="C35" s="3">
        <f>B35/bt_internet_radio_receiver_audio_switch[[#Totals],[Qty]]</f>
        <v>0.35964912280701755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028551-96BF-436D-98E8-46FB4FE58A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bt internet radio receiver audi</vt:lpstr>
    </vt:vector>
  </TitlesOfParts>
  <Company>Інститут Модернізації та Змісту освіти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Shistka</dc:creator>
  <cp:lastModifiedBy>Andrii Shistka</cp:lastModifiedBy>
  <dcterms:created xsi:type="dcterms:W3CDTF">2025-11-17T14:14:59Z</dcterms:created>
  <dcterms:modified xsi:type="dcterms:W3CDTF">2026-01-01T13:02:45Z</dcterms:modified>
</cp:coreProperties>
</file>